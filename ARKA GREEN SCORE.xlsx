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hnehal_kalugade_accenture_com/Documents/Documents/BNI/Green/2304/"/>
    </mc:Choice>
  </mc:AlternateContent>
  <xr:revisionPtr revIDLastSave="83" documentId="8_{55EE68B4-57D2-4426-A7AF-1C0A8D21D84A}" xr6:coauthVersionLast="47" xr6:coauthVersionMax="47" xr10:uidLastSave="{EDF875BA-B7CD-4218-BC3D-9D2D66F3EE9E}"/>
  <bookViews>
    <workbookView xWindow="-110" yWindow="-110" windowWidth="19420" windowHeight="10300" xr2:uid="{DF6601E9-2B71-4A46-8978-7B0FD3B2AA3A}"/>
  </bookViews>
  <sheets>
    <sheet name="Sheet1" sheetId="1" r:id="rId1"/>
  </sheets>
  <definedNames>
    <definedName name="_xlnm._FilterDatabase" localSheetId="0" hidden="1">Sheet1!$A$7:$L$7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H58" i="1"/>
  <c r="H57" i="1"/>
  <c r="H55" i="1"/>
  <c r="H48" i="1"/>
  <c r="H46" i="1"/>
  <c r="H45" i="1"/>
  <c r="H44" i="1"/>
  <c r="H43" i="1"/>
  <c r="H37" i="1"/>
  <c r="H33" i="1"/>
  <c r="H32" i="1"/>
  <c r="H31" i="1"/>
  <c r="H21" i="1"/>
  <c r="H20" i="1"/>
  <c r="H19" i="1"/>
  <c r="H10" i="1"/>
  <c r="H9" i="1"/>
  <c r="H8" i="1"/>
  <c r="H64" i="1"/>
  <c r="I64" i="1"/>
  <c r="J64" i="1"/>
  <c r="K64" i="1"/>
  <c r="H65" i="1"/>
  <c r="I65" i="1"/>
  <c r="J65" i="1"/>
  <c r="K65" i="1"/>
  <c r="H66" i="1"/>
  <c r="I66" i="1"/>
  <c r="J66" i="1"/>
  <c r="K66" i="1"/>
  <c r="H54" i="1"/>
  <c r="H51" i="1"/>
  <c r="H42" i="1"/>
  <c r="H36" i="1"/>
  <c r="H34" i="1"/>
  <c r="H30" i="1"/>
  <c r="H23" i="1"/>
  <c r="H18" i="1"/>
  <c r="H13" i="1"/>
  <c r="H11" i="1"/>
  <c r="H56" i="1"/>
  <c r="H26" i="1"/>
  <c r="H14" i="1"/>
  <c r="I10" i="1"/>
  <c r="J10" i="1"/>
  <c r="K10" i="1"/>
  <c r="I11" i="1"/>
  <c r="J11" i="1"/>
  <c r="K11" i="1"/>
  <c r="H12" i="1"/>
  <c r="I12" i="1"/>
  <c r="J12" i="1"/>
  <c r="K12" i="1"/>
  <c r="I13" i="1"/>
  <c r="J13" i="1"/>
  <c r="K13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H22" i="1"/>
  <c r="I22" i="1"/>
  <c r="J22" i="1"/>
  <c r="K22" i="1"/>
  <c r="I23" i="1"/>
  <c r="J23" i="1"/>
  <c r="K23" i="1"/>
  <c r="H24" i="1"/>
  <c r="I24" i="1"/>
  <c r="J24" i="1"/>
  <c r="K24" i="1"/>
  <c r="H25" i="1"/>
  <c r="I25" i="1"/>
  <c r="J25" i="1"/>
  <c r="K25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H35" i="1"/>
  <c r="I35" i="1"/>
  <c r="J35" i="1"/>
  <c r="K35" i="1"/>
  <c r="I36" i="1"/>
  <c r="J36" i="1"/>
  <c r="K36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H47" i="1"/>
  <c r="I47" i="1"/>
  <c r="J47" i="1"/>
  <c r="K47" i="1"/>
  <c r="I48" i="1"/>
  <c r="J48" i="1"/>
  <c r="K48" i="1"/>
  <c r="H49" i="1"/>
  <c r="I49" i="1"/>
  <c r="J49" i="1"/>
  <c r="K49" i="1"/>
  <c r="H50" i="1"/>
  <c r="I50" i="1"/>
  <c r="J50" i="1"/>
  <c r="K50" i="1"/>
  <c r="I51" i="1"/>
  <c r="J51" i="1"/>
  <c r="K51" i="1"/>
  <c r="H52" i="1"/>
  <c r="I52" i="1"/>
  <c r="J52" i="1"/>
  <c r="K52" i="1"/>
  <c r="H53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H59" i="1"/>
  <c r="I59" i="1"/>
  <c r="J59" i="1"/>
  <c r="K59" i="1"/>
  <c r="H60" i="1"/>
  <c r="I60" i="1"/>
  <c r="J60" i="1"/>
  <c r="K60" i="1"/>
  <c r="I61" i="1"/>
  <c r="J61" i="1"/>
  <c r="K61" i="1"/>
  <c r="H62" i="1"/>
  <c r="I62" i="1"/>
  <c r="J62" i="1"/>
  <c r="K62" i="1"/>
  <c r="H63" i="1"/>
  <c r="I63" i="1"/>
  <c r="J63" i="1"/>
  <c r="K63" i="1"/>
  <c r="K9" i="1"/>
  <c r="K8" i="1"/>
  <c r="J9" i="1"/>
  <c r="J8" i="1"/>
  <c r="I9" i="1"/>
  <c r="I8" i="1"/>
</calcChain>
</file>

<file path=xl/sharedStrings.xml><?xml version="1.0" encoding="utf-8"?>
<sst xmlns="http://schemas.openxmlformats.org/spreadsheetml/2006/main" count="138" uniqueCount="120">
  <si>
    <t>NAME</t>
  </si>
  <si>
    <t>6 MONTHS PERFORMANCE</t>
  </si>
  <si>
    <t>REFERRALS</t>
  </si>
  <si>
    <t>BUSINESS</t>
  </si>
  <si>
    <t>VISITORS</t>
  </si>
  <si>
    <t>TRAINING</t>
  </si>
  <si>
    <t>WHAT U NEED TO DO</t>
  </si>
  <si>
    <t>PARAMETERS REQUIRED</t>
  </si>
  <si>
    <t>POINTS</t>
  </si>
  <si>
    <t>REFERALS</t>
  </si>
  <si>
    <t>Rohit</t>
  </si>
  <si>
    <t>Badiger</t>
  </si>
  <si>
    <t>Shivjeet</t>
  </si>
  <si>
    <t>Benadikar</t>
  </si>
  <si>
    <t>Shruti</t>
  </si>
  <si>
    <t>Bhasme-Phatak</t>
  </si>
  <si>
    <t>Asshwin</t>
  </si>
  <si>
    <t>Bhoslay</t>
  </si>
  <si>
    <t>Harry</t>
  </si>
  <si>
    <t>Bisht</t>
  </si>
  <si>
    <t>Nitin</t>
  </si>
  <si>
    <t>Borkar</t>
  </si>
  <si>
    <t>Ashish</t>
  </si>
  <si>
    <t>Buchade</t>
  </si>
  <si>
    <t>Chandwani</t>
  </si>
  <si>
    <t>Gourav</t>
  </si>
  <si>
    <t>Chhabhaiya</t>
  </si>
  <si>
    <t>Vivek</t>
  </si>
  <si>
    <t>Gaikwad</t>
  </si>
  <si>
    <t>Jagadishh</t>
  </si>
  <si>
    <t>Ghorapade</t>
  </si>
  <si>
    <t>Gautam</t>
  </si>
  <si>
    <t>Hiremath</t>
  </si>
  <si>
    <t>Radha</t>
  </si>
  <si>
    <t>Indulkar</t>
  </si>
  <si>
    <t>Dr. Maheshwari</t>
  </si>
  <si>
    <t>Jadhav</t>
  </si>
  <si>
    <t>Jyoti</t>
  </si>
  <si>
    <t>Sonal</t>
  </si>
  <si>
    <t>Karan</t>
  </si>
  <si>
    <t>Jain</t>
  </si>
  <si>
    <t>Pawan</t>
  </si>
  <si>
    <t>Jamdar</t>
  </si>
  <si>
    <t>Padma</t>
  </si>
  <si>
    <t>Kagalkar</t>
  </si>
  <si>
    <t>Sujit</t>
  </si>
  <si>
    <t>Kalekar</t>
  </si>
  <si>
    <t>Snehal</t>
  </si>
  <si>
    <t>Kalugade Lagare</t>
  </si>
  <si>
    <t>Nikita</t>
  </si>
  <si>
    <t>Karnawat</t>
  </si>
  <si>
    <t>Ganeshprasad</t>
  </si>
  <si>
    <t>Khatavkar</t>
  </si>
  <si>
    <t>Balkrishna</t>
  </si>
  <si>
    <t>Khillari</t>
  </si>
  <si>
    <t>Kokitkar</t>
  </si>
  <si>
    <t>Nirmala</t>
  </si>
  <si>
    <t>Kolvankar</t>
  </si>
  <si>
    <t>Dr. Kiran</t>
  </si>
  <si>
    <t>Kulkarni</t>
  </si>
  <si>
    <t>Aishwarya</t>
  </si>
  <si>
    <t>Lad</t>
  </si>
  <si>
    <t>Abhijeet</t>
  </si>
  <si>
    <t>Lale</t>
  </si>
  <si>
    <t>Kaushal</t>
  </si>
  <si>
    <t>Limbani</t>
  </si>
  <si>
    <t>Heramb</t>
  </si>
  <si>
    <t>Magdum</t>
  </si>
  <si>
    <t>Nikhil</t>
  </si>
  <si>
    <t>Mahajan</t>
  </si>
  <si>
    <t>Dipak</t>
  </si>
  <si>
    <t>Mane</t>
  </si>
  <si>
    <t>Dr. Shilpa</t>
  </si>
  <si>
    <t>Maney</t>
  </si>
  <si>
    <t>Ojas</t>
  </si>
  <si>
    <t>Maru</t>
  </si>
  <si>
    <t>Gurunath</t>
  </si>
  <si>
    <t>Mhaindarkar</t>
  </si>
  <si>
    <t>Avinash</t>
  </si>
  <si>
    <t>Nirankari</t>
  </si>
  <si>
    <t>Dhiraj</t>
  </si>
  <si>
    <t>Oswal</t>
  </si>
  <si>
    <t>Amir</t>
  </si>
  <si>
    <t>Patel</t>
  </si>
  <si>
    <t>Dr. Noopur</t>
  </si>
  <si>
    <t>Patil</t>
  </si>
  <si>
    <t>Gaurav</t>
  </si>
  <si>
    <t>Jayshree</t>
  </si>
  <si>
    <t>Kunal</t>
  </si>
  <si>
    <t>Shailendra</t>
  </si>
  <si>
    <t>Meggha</t>
  </si>
  <si>
    <t>Patill</t>
  </si>
  <si>
    <t>Akshay</t>
  </si>
  <si>
    <t>Phulare</t>
  </si>
  <si>
    <t>Shivaji</t>
  </si>
  <si>
    <t>Powar</t>
  </si>
  <si>
    <t>Mayur</t>
  </si>
  <si>
    <t>Sadale</t>
  </si>
  <si>
    <t>Siddharth</t>
  </si>
  <si>
    <t>Salokhe</t>
  </si>
  <si>
    <t>Zakir</t>
  </si>
  <si>
    <t>Shaikh</t>
  </si>
  <si>
    <t>Devang</t>
  </si>
  <si>
    <t>Sheth</t>
  </si>
  <si>
    <t>Balwant</t>
  </si>
  <si>
    <t>Shinde</t>
  </si>
  <si>
    <t>Indrayani</t>
  </si>
  <si>
    <t>Rakesh</t>
  </si>
  <si>
    <t>Shirke</t>
  </si>
  <si>
    <t>Akhilesh</t>
  </si>
  <si>
    <t>Suryapeth</t>
  </si>
  <si>
    <t>Sutar</t>
  </si>
  <si>
    <t>Rahul</t>
  </si>
  <si>
    <t>Tawar</t>
  </si>
  <si>
    <t>Janaki</t>
  </si>
  <si>
    <t>Vaidya</t>
  </si>
  <si>
    <t>Vedpathak</t>
  </si>
  <si>
    <t>SURNAME</t>
  </si>
  <si>
    <t>ATTENDANCE</t>
  </si>
  <si>
    <t>SPONSER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</si>
</sst>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sans-serif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0" borderId="0" xfId="0" applyFont="1" applyAlignment="1">
      <alignment horizontal="right"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0" fontId="1" fillId="2" borderId="1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7D42-FADE-4761-ADA6-8D16B7751DE6}">
  <dimension ref="A1:L68"/>
  <sheetViews>
    <sheetView tabSelected="1" workbookViewId="0">
      <selection activeCell="K10" sqref="K10"/>
    </sheetView>
  </sheetViews>
  <sheetFormatPr defaultColWidth="9.81640625" defaultRowHeight="14.5"/>
  <cols>
    <col min="1" max="1" width="20.7265625" bestFit="1" customWidth="1"/>
    <col min="2" max="2" width="13.90625" customWidth="1"/>
    <col min="3" max="3" width="11.453125" hidden="1" customWidth="1"/>
    <col min="4" max="4" width="12.08984375" hidden="1" customWidth="1"/>
    <col min="5" max="5" width="15.1796875" hidden="1" customWidth="1"/>
    <col min="6" max="6" width="10.36328125" hidden="1" customWidth="1"/>
    <col min="7" max="7" width="10.7265625" hidden="1" customWidth="1"/>
    <col min="8" max="8" width="15.6328125" customWidth="1"/>
    <col min="10" max="10" width="14.81640625" customWidth="1"/>
  </cols>
  <sheetData>
    <row r="1" spans="1:12">
      <c r="C1" s="1" t="s">
        <v>9</v>
      </c>
      <c r="D1" s="1">
        <v>121</v>
      </c>
      <c r="E1" s="1" t="s">
        <v>3</v>
      </c>
      <c r="F1" s="1" t="s">
        <v>4</v>
      </c>
      <c r="G1" s="1" t="s">
        <v>5</v>
      </c>
      <c r="H1" s="1" t="s">
        <v>118</v>
      </c>
      <c r="I1" s="1" t="s">
        <v>119</v>
      </c>
    </row>
    <row r="2" spans="1:12">
      <c r="A2" t="s">
        <v>7</v>
      </c>
      <c r="C2">
        <v>35</v>
      </c>
      <c r="D2">
        <v>30</v>
      </c>
      <c r="E2">
        <v>1250000</v>
      </c>
      <c r="F2">
        <v>5</v>
      </c>
      <c r="G2">
        <v>2</v>
      </c>
      <c r="H2">
        <v>100</v>
      </c>
      <c r="I2">
        <v>1</v>
      </c>
    </row>
    <row r="3" spans="1:12">
      <c r="A3" t="s">
        <v>8</v>
      </c>
      <c r="C3">
        <v>25</v>
      </c>
      <c r="D3">
        <v>20</v>
      </c>
      <c r="E3">
        <v>5</v>
      </c>
      <c r="F3">
        <v>25</v>
      </c>
      <c r="G3">
        <v>10</v>
      </c>
      <c r="H3">
        <v>10</v>
      </c>
      <c r="I3">
        <v>5</v>
      </c>
    </row>
    <row r="5" spans="1:12" ht="15" thickBot="1"/>
    <row r="6" spans="1:12" s="6" customFormat="1" ht="20.149999999999999" customHeight="1" thickBot="1">
      <c r="A6" s="18" t="s">
        <v>0</v>
      </c>
      <c r="B6" s="18" t="s">
        <v>117</v>
      </c>
      <c r="C6" s="26" t="s">
        <v>1</v>
      </c>
      <c r="D6" s="27"/>
      <c r="E6" s="27"/>
      <c r="F6" s="27"/>
      <c r="G6" s="28"/>
      <c r="H6" s="29" t="s">
        <v>6</v>
      </c>
      <c r="I6" s="30"/>
      <c r="J6" s="30"/>
      <c r="K6" s="30"/>
      <c r="L6" s="31"/>
    </row>
    <row r="7" spans="1:12" s="6" customFormat="1" ht="20.149999999999999" customHeight="1" thickBot="1">
      <c r="A7" s="19"/>
      <c r="B7" s="19"/>
      <c r="C7" s="21" t="s">
        <v>2</v>
      </c>
      <c r="D7" s="22">
        <v>121</v>
      </c>
      <c r="E7" s="22" t="s">
        <v>3</v>
      </c>
      <c r="F7" s="22" t="s">
        <v>4</v>
      </c>
      <c r="G7" s="2" t="s">
        <v>5</v>
      </c>
      <c r="H7" s="3" t="s">
        <v>2</v>
      </c>
      <c r="I7" s="4">
        <v>121</v>
      </c>
      <c r="J7" s="4" t="s">
        <v>3</v>
      </c>
      <c r="K7" s="4" t="s">
        <v>4</v>
      </c>
      <c r="L7" s="5" t="s">
        <v>5</v>
      </c>
    </row>
    <row r="8" spans="1:12" s="6" customFormat="1" ht="20.149999999999999" customHeight="1">
      <c r="A8" s="20" t="s">
        <v>10</v>
      </c>
      <c r="B8" s="20" t="s">
        <v>11</v>
      </c>
      <c r="C8" s="23">
        <v>50</v>
      </c>
      <c r="D8" s="24">
        <v>31</v>
      </c>
      <c r="E8" s="25">
        <v>3072500</v>
      </c>
      <c r="F8" s="24">
        <v>1</v>
      </c>
      <c r="G8" s="11">
        <v>125</v>
      </c>
      <c r="H8" s="12">
        <f t="shared" ref="H8:H19" si="0">+$C$2-C8</f>
        <v>-15</v>
      </c>
      <c r="I8" s="13">
        <f t="shared" ref="I8:I19" si="1">$D$2-D8</f>
        <v>-1</v>
      </c>
      <c r="J8" s="14">
        <f t="shared" ref="J8:J19" si="2">$E$2-E8</f>
        <v>-1822500</v>
      </c>
      <c r="K8" s="13">
        <f t="shared" ref="K8:K19" si="3">$F$2-F8</f>
        <v>4</v>
      </c>
      <c r="L8" s="15">
        <v>2</v>
      </c>
    </row>
    <row r="9" spans="1:12" s="6" customFormat="1" ht="20.149999999999999" customHeight="1">
      <c r="A9" s="20" t="s">
        <v>12</v>
      </c>
      <c r="B9" s="20" t="s">
        <v>13</v>
      </c>
      <c r="C9" s="23">
        <v>38</v>
      </c>
      <c r="D9" s="24">
        <v>43</v>
      </c>
      <c r="E9" s="25">
        <v>18813125</v>
      </c>
      <c r="F9" s="24">
        <v>1</v>
      </c>
      <c r="G9" s="7">
        <v>0</v>
      </c>
      <c r="H9" s="8">
        <f t="shared" si="0"/>
        <v>-3</v>
      </c>
      <c r="I9" s="9">
        <f t="shared" si="1"/>
        <v>-13</v>
      </c>
      <c r="J9" s="10">
        <f t="shared" si="2"/>
        <v>-17563125</v>
      </c>
      <c r="K9" s="9">
        <f t="shared" si="3"/>
        <v>4</v>
      </c>
      <c r="L9" s="15">
        <v>2</v>
      </c>
    </row>
    <row r="10" spans="1:12" s="6" customFormat="1" ht="20.149999999999999" customHeight="1">
      <c r="A10" s="20" t="s">
        <v>14</v>
      </c>
      <c r="B10" s="20" t="s">
        <v>15</v>
      </c>
      <c r="C10" s="23">
        <v>35</v>
      </c>
      <c r="D10" s="24">
        <v>16</v>
      </c>
      <c r="E10" s="25">
        <v>1848645</v>
      </c>
      <c r="F10" s="24">
        <v>0</v>
      </c>
      <c r="G10" s="7">
        <v>0</v>
      </c>
      <c r="H10" s="8">
        <f t="shared" si="0"/>
        <v>0</v>
      </c>
      <c r="I10" s="9">
        <f t="shared" si="1"/>
        <v>14</v>
      </c>
      <c r="J10" s="10">
        <f t="shared" si="2"/>
        <v>-598645</v>
      </c>
      <c r="K10" s="9">
        <f t="shared" si="3"/>
        <v>5</v>
      </c>
      <c r="L10" s="15">
        <v>2</v>
      </c>
    </row>
    <row r="11" spans="1:12" s="6" customFormat="1" ht="20.149999999999999" customHeight="1">
      <c r="A11" s="20" t="s">
        <v>16</v>
      </c>
      <c r="B11" s="20" t="s">
        <v>17</v>
      </c>
      <c r="C11" s="23">
        <v>94</v>
      </c>
      <c r="D11" s="24">
        <v>46</v>
      </c>
      <c r="E11" s="25">
        <v>3712806</v>
      </c>
      <c r="F11" s="24">
        <v>7</v>
      </c>
      <c r="G11" s="7">
        <v>60</v>
      </c>
      <c r="H11" s="8">
        <f t="shared" si="0"/>
        <v>-59</v>
      </c>
      <c r="I11" s="9">
        <f t="shared" si="1"/>
        <v>-16</v>
      </c>
      <c r="J11" s="10">
        <f t="shared" si="2"/>
        <v>-2462806</v>
      </c>
      <c r="K11" s="9">
        <f t="shared" si="3"/>
        <v>-2</v>
      </c>
      <c r="L11" s="15">
        <v>2</v>
      </c>
    </row>
    <row r="12" spans="1:12" s="6" customFormat="1" ht="20.149999999999999" customHeight="1">
      <c r="A12" s="20" t="s">
        <v>18</v>
      </c>
      <c r="B12" s="20" t="s">
        <v>19</v>
      </c>
      <c r="C12" s="23">
        <v>21</v>
      </c>
      <c r="D12" s="24">
        <v>20</v>
      </c>
      <c r="E12" s="25">
        <v>315550</v>
      </c>
      <c r="F12" s="24">
        <v>0</v>
      </c>
      <c r="G12" s="7">
        <v>0</v>
      </c>
      <c r="H12" s="8">
        <f t="shared" si="0"/>
        <v>14</v>
      </c>
      <c r="I12" s="9">
        <f t="shared" si="1"/>
        <v>10</v>
      </c>
      <c r="J12" s="10">
        <f t="shared" si="2"/>
        <v>934450</v>
      </c>
      <c r="K12" s="9">
        <f t="shared" si="3"/>
        <v>5</v>
      </c>
      <c r="L12" s="15">
        <v>2</v>
      </c>
    </row>
    <row r="13" spans="1:12" s="6" customFormat="1" ht="20.149999999999999" customHeight="1">
      <c r="A13" s="20" t="s">
        <v>20</v>
      </c>
      <c r="B13" s="20" t="s">
        <v>21</v>
      </c>
      <c r="C13" s="23">
        <v>54</v>
      </c>
      <c r="D13" s="24">
        <v>32</v>
      </c>
      <c r="E13" s="25">
        <v>406150</v>
      </c>
      <c r="F13" s="24">
        <v>0</v>
      </c>
      <c r="G13" s="7">
        <v>1</v>
      </c>
      <c r="H13" s="8">
        <f t="shared" si="0"/>
        <v>-19</v>
      </c>
      <c r="I13" s="9">
        <f t="shared" si="1"/>
        <v>-2</v>
      </c>
      <c r="J13" s="10">
        <f t="shared" si="2"/>
        <v>843850</v>
      </c>
      <c r="K13" s="9">
        <f t="shared" si="3"/>
        <v>5</v>
      </c>
      <c r="L13" s="15">
        <v>2</v>
      </c>
    </row>
    <row r="14" spans="1:12" s="6" customFormat="1" ht="20.149999999999999" customHeight="1">
      <c r="A14" s="20" t="s">
        <v>22</v>
      </c>
      <c r="B14" s="20" t="s">
        <v>23</v>
      </c>
      <c r="C14" s="23">
        <v>38</v>
      </c>
      <c r="D14" s="24">
        <v>29</v>
      </c>
      <c r="E14" s="25">
        <v>327658</v>
      </c>
      <c r="F14" s="24">
        <v>0</v>
      </c>
      <c r="G14" s="7">
        <v>53</v>
      </c>
      <c r="H14" s="8">
        <f t="shared" si="0"/>
        <v>-3</v>
      </c>
      <c r="I14" s="9">
        <f t="shared" si="1"/>
        <v>1</v>
      </c>
      <c r="J14" s="10">
        <f t="shared" si="2"/>
        <v>922342</v>
      </c>
      <c r="K14" s="9">
        <f t="shared" si="3"/>
        <v>5</v>
      </c>
      <c r="L14" s="15">
        <v>2</v>
      </c>
    </row>
    <row r="15" spans="1:12" s="6" customFormat="1" ht="20.149999999999999" customHeight="1">
      <c r="A15" s="20" t="s">
        <v>20</v>
      </c>
      <c r="B15" s="20" t="s">
        <v>24</v>
      </c>
      <c r="C15" s="23">
        <v>0</v>
      </c>
      <c r="D15" s="24">
        <v>0</v>
      </c>
      <c r="E15" s="25">
        <v>0</v>
      </c>
      <c r="F15" s="24">
        <v>0</v>
      </c>
      <c r="G15" s="7">
        <v>0</v>
      </c>
      <c r="H15" s="8">
        <f t="shared" si="0"/>
        <v>35</v>
      </c>
      <c r="I15" s="9">
        <f t="shared" si="1"/>
        <v>30</v>
      </c>
      <c r="J15" s="10">
        <f t="shared" si="2"/>
        <v>1250000</v>
      </c>
      <c r="K15" s="9">
        <f t="shared" si="3"/>
        <v>5</v>
      </c>
      <c r="L15" s="15">
        <v>2</v>
      </c>
    </row>
    <row r="16" spans="1:12" s="6" customFormat="1" ht="20.149999999999999" customHeight="1">
      <c r="A16" s="20" t="s">
        <v>25</v>
      </c>
      <c r="B16" s="20" t="s">
        <v>26</v>
      </c>
      <c r="C16" s="23">
        <v>61</v>
      </c>
      <c r="D16" s="24">
        <v>53</v>
      </c>
      <c r="E16" s="25">
        <v>8500355</v>
      </c>
      <c r="F16" s="24">
        <v>0</v>
      </c>
      <c r="G16" s="7">
        <v>0</v>
      </c>
      <c r="H16" s="8">
        <f t="shared" si="0"/>
        <v>-26</v>
      </c>
      <c r="I16" s="9">
        <f t="shared" si="1"/>
        <v>-23</v>
      </c>
      <c r="J16" s="10">
        <f t="shared" si="2"/>
        <v>-7250355</v>
      </c>
      <c r="K16" s="9">
        <f t="shared" si="3"/>
        <v>5</v>
      </c>
      <c r="L16" s="15">
        <v>2</v>
      </c>
    </row>
    <row r="17" spans="1:12" s="6" customFormat="1" ht="20.149999999999999" customHeight="1">
      <c r="A17" s="20" t="s">
        <v>27</v>
      </c>
      <c r="B17" s="20" t="s">
        <v>28</v>
      </c>
      <c r="C17" s="23">
        <v>47</v>
      </c>
      <c r="D17" s="24">
        <v>52</v>
      </c>
      <c r="E17" s="25">
        <v>508172</v>
      </c>
      <c r="F17" s="24">
        <v>3</v>
      </c>
      <c r="G17" s="7">
        <v>0</v>
      </c>
      <c r="H17" s="8">
        <f t="shared" si="0"/>
        <v>-12</v>
      </c>
      <c r="I17" s="9">
        <f t="shared" si="1"/>
        <v>-22</v>
      </c>
      <c r="J17" s="10">
        <f t="shared" si="2"/>
        <v>741828</v>
      </c>
      <c r="K17" s="9">
        <f t="shared" si="3"/>
        <v>2</v>
      </c>
      <c r="L17" s="15">
        <v>2</v>
      </c>
    </row>
    <row r="18" spans="1:12" s="6" customFormat="1" ht="20.149999999999999" customHeight="1">
      <c r="A18" s="20" t="s">
        <v>29</v>
      </c>
      <c r="B18" s="20" t="s">
        <v>30</v>
      </c>
      <c r="C18" s="23">
        <v>47</v>
      </c>
      <c r="D18" s="24">
        <v>27</v>
      </c>
      <c r="E18" s="25">
        <v>999731</v>
      </c>
      <c r="F18" s="24">
        <v>0</v>
      </c>
      <c r="G18" s="7">
        <v>0</v>
      </c>
      <c r="H18" s="8">
        <f t="shared" si="0"/>
        <v>-12</v>
      </c>
      <c r="I18" s="9">
        <f t="shared" si="1"/>
        <v>3</v>
      </c>
      <c r="J18" s="10">
        <f t="shared" si="2"/>
        <v>250269</v>
      </c>
      <c r="K18" s="9">
        <f t="shared" si="3"/>
        <v>5</v>
      </c>
      <c r="L18" s="15">
        <v>2</v>
      </c>
    </row>
    <row r="19" spans="1:12" s="6" customFormat="1" ht="20.149999999999999" customHeight="1">
      <c r="A19" s="20" t="s">
        <v>31</v>
      </c>
      <c r="B19" s="20" t="s">
        <v>32</v>
      </c>
      <c r="C19" s="23">
        <v>36</v>
      </c>
      <c r="D19" s="24">
        <v>28</v>
      </c>
      <c r="E19" s="25">
        <v>382150</v>
      </c>
      <c r="F19" s="24">
        <v>0</v>
      </c>
      <c r="G19" s="7">
        <v>42</v>
      </c>
      <c r="H19" s="8">
        <f t="shared" si="0"/>
        <v>-1</v>
      </c>
      <c r="I19" s="9">
        <f t="shared" si="1"/>
        <v>2</v>
      </c>
      <c r="J19" s="10">
        <f t="shared" si="2"/>
        <v>867850</v>
      </c>
      <c r="K19" s="9">
        <f t="shared" si="3"/>
        <v>5</v>
      </c>
      <c r="L19" s="15">
        <v>2</v>
      </c>
    </row>
    <row r="20" spans="1:12" s="6" customFormat="1" ht="20.149999999999999" customHeight="1">
      <c r="A20" s="20" t="s">
        <v>33</v>
      </c>
      <c r="B20" s="20" t="s">
        <v>34</v>
      </c>
      <c r="C20" s="23">
        <v>35</v>
      </c>
      <c r="D20" s="24">
        <v>30</v>
      </c>
      <c r="E20" s="25">
        <v>8557798</v>
      </c>
      <c r="F20" s="24">
        <v>6</v>
      </c>
      <c r="G20" s="7">
        <v>0</v>
      </c>
      <c r="H20" s="8">
        <f t="shared" ref="H20:H63" si="4">+$C$2-C20</f>
        <v>0</v>
      </c>
      <c r="I20" s="9">
        <f t="shared" ref="I20:I63" si="5">$D$2-D20</f>
        <v>0</v>
      </c>
      <c r="J20" s="10">
        <f t="shared" ref="J20:J63" si="6">$E$2-E20</f>
        <v>-7307798</v>
      </c>
      <c r="K20" s="9">
        <f t="shared" ref="K20:K63" si="7">$F$2-F20</f>
        <v>-1</v>
      </c>
      <c r="L20" s="15">
        <v>2</v>
      </c>
    </row>
    <row r="21" spans="1:12" s="6" customFormat="1" ht="20.149999999999999" customHeight="1">
      <c r="A21" s="20" t="s">
        <v>35</v>
      </c>
      <c r="B21" s="20" t="s">
        <v>36</v>
      </c>
      <c r="C21" s="23">
        <v>40</v>
      </c>
      <c r="D21" s="24">
        <v>32</v>
      </c>
      <c r="E21" s="25">
        <v>923610</v>
      </c>
      <c r="F21" s="24">
        <v>0</v>
      </c>
      <c r="G21" s="7">
        <v>0</v>
      </c>
      <c r="H21" s="8">
        <f t="shared" si="4"/>
        <v>-5</v>
      </c>
      <c r="I21" s="9">
        <f t="shared" si="5"/>
        <v>-2</v>
      </c>
      <c r="J21" s="10">
        <f t="shared" si="6"/>
        <v>326390</v>
      </c>
      <c r="K21" s="9">
        <f t="shared" si="7"/>
        <v>5</v>
      </c>
      <c r="L21" s="15">
        <v>2</v>
      </c>
    </row>
    <row r="22" spans="1:12" s="6" customFormat="1" ht="20.149999999999999" customHeight="1">
      <c r="A22" s="20" t="s">
        <v>37</v>
      </c>
      <c r="B22" s="20" t="s">
        <v>36</v>
      </c>
      <c r="C22" s="23">
        <v>24</v>
      </c>
      <c r="D22" s="24">
        <v>11</v>
      </c>
      <c r="E22" s="25">
        <v>208300</v>
      </c>
      <c r="F22" s="24">
        <v>0</v>
      </c>
      <c r="G22" s="7">
        <v>2</v>
      </c>
      <c r="H22" s="8">
        <f t="shared" si="4"/>
        <v>11</v>
      </c>
      <c r="I22" s="9">
        <f t="shared" si="5"/>
        <v>19</v>
      </c>
      <c r="J22" s="10">
        <f t="shared" si="6"/>
        <v>1041700</v>
      </c>
      <c r="K22" s="9">
        <f t="shared" si="7"/>
        <v>5</v>
      </c>
      <c r="L22" s="15">
        <v>2</v>
      </c>
    </row>
    <row r="23" spans="1:12" s="6" customFormat="1" ht="20.149999999999999" customHeight="1">
      <c r="A23" s="20" t="s">
        <v>38</v>
      </c>
      <c r="B23" s="20" t="s">
        <v>36</v>
      </c>
      <c r="C23" s="23">
        <v>41</v>
      </c>
      <c r="D23" s="24">
        <v>33</v>
      </c>
      <c r="E23" s="25">
        <v>3807600</v>
      </c>
      <c r="F23" s="24">
        <v>2</v>
      </c>
      <c r="G23" s="7">
        <v>0</v>
      </c>
      <c r="H23" s="8">
        <f t="shared" si="4"/>
        <v>-6</v>
      </c>
      <c r="I23" s="9">
        <f t="shared" si="5"/>
        <v>-3</v>
      </c>
      <c r="J23" s="10">
        <f t="shared" si="6"/>
        <v>-2557600</v>
      </c>
      <c r="K23" s="9">
        <f t="shared" si="7"/>
        <v>3</v>
      </c>
      <c r="L23" s="15">
        <v>2</v>
      </c>
    </row>
    <row r="24" spans="1:12" s="6" customFormat="1" ht="20.149999999999999" customHeight="1">
      <c r="A24" s="20" t="s">
        <v>39</v>
      </c>
      <c r="B24" s="20" t="s">
        <v>40</v>
      </c>
      <c r="C24" s="23">
        <v>32</v>
      </c>
      <c r="D24" s="24">
        <v>26</v>
      </c>
      <c r="E24" s="25">
        <v>2779430</v>
      </c>
      <c r="F24" s="24">
        <v>0</v>
      </c>
      <c r="G24" s="7">
        <v>0</v>
      </c>
      <c r="H24" s="8">
        <f t="shared" si="4"/>
        <v>3</v>
      </c>
      <c r="I24" s="9">
        <f t="shared" si="5"/>
        <v>4</v>
      </c>
      <c r="J24" s="10">
        <f t="shared" si="6"/>
        <v>-1529430</v>
      </c>
      <c r="K24" s="9">
        <f t="shared" si="7"/>
        <v>5</v>
      </c>
      <c r="L24" s="15">
        <v>2</v>
      </c>
    </row>
    <row r="25" spans="1:12" s="6" customFormat="1" ht="20.149999999999999" customHeight="1">
      <c r="A25" s="20" t="s">
        <v>41</v>
      </c>
      <c r="B25" s="20" t="s">
        <v>42</v>
      </c>
      <c r="C25" s="23">
        <v>26</v>
      </c>
      <c r="D25" s="24">
        <v>15</v>
      </c>
      <c r="E25" s="25">
        <v>4984229</v>
      </c>
      <c r="F25" s="24">
        <v>0</v>
      </c>
      <c r="G25" s="7">
        <v>50</v>
      </c>
      <c r="H25" s="8">
        <f t="shared" si="4"/>
        <v>9</v>
      </c>
      <c r="I25" s="9">
        <f t="shared" si="5"/>
        <v>15</v>
      </c>
      <c r="J25" s="10">
        <f t="shared" si="6"/>
        <v>-3734229</v>
      </c>
      <c r="K25" s="9">
        <f t="shared" si="7"/>
        <v>5</v>
      </c>
      <c r="L25" s="15">
        <v>2</v>
      </c>
    </row>
    <row r="26" spans="1:12" s="6" customFormat="1" ht="20.149999999999999" customHeight="1">
      <c r="A26" s="20" t="s">
        <v>43</v>
      </c>
      <c r="B26" s="20" t="s">
        <v>44</v>
      </c>
      <c r="C26" s="23">
        <v>27</v>
      </c>
      <c r="D26" s="24">
        <v>15</v>
      </c>
      <c r="E26" s="25">
        <v>180550</v>
      </c>
      <c r="F26" s="24">
        <v>0</v>
      </c>
      <c r="G26" s="7">
        <v>7</v>
      </c>
      <c r="H26" s="8">
        <f t="shared" si="4"/>
        <v>8</v>
      </c>
      <c r="I26" s="9">
        <f t="shared" si="5"/>
        <v>15</v>
      </c>
      <c r="J26" s="10">
        <f t="shared" si="6"/>
        <v>1069450</v>
      </c>
      <c r="K26" s="9">
        <f t="shared" si="7"/>
        <v>5</v>
      </c>
      <c r="L26" s="15">
        <v>2</v>
      </c>
    </row>
    <row r="27" spans="1:12" s="6" customFormat="1" ht="20.149999999999999" customHeight="1">
      <c r="A27" s="20" t="s">
        <v>45</v>
      </c>
      <c r="B27" s="20" t="s">
        <v>46</v>
      </c>
      <c r="C27" s="23">
        <v>27</v>
      </c>
      <c r="D27" s="24">
        <v>30</v>
      </c>
      <c r="E27" s="25">
        <v>1750163</v>
      </c>
      <c r="F27" s="24">
        <v>2</v>
      </c>
      <c r="G27" s="7">
        <v>43</v>
      </c>
      <c r="H27" s="8">
        <f t="shared" si="4"/>
        <v>8</v>
      </c>
      <c r="I27" s="9">
        <f t="shared" si="5"/>
        <v>0</v>
      </c>
      <c r="J27" s="10">
        <f t="shared" si="6"/>
        <v>-500163</v>
      </c>
      <c r="K27" s="9">
        <f t="shared" si="7"/>
        <v>3</v>
      </c>
      <c r="L27" s="15">
        <v>2</v>
      </c>
    </row>
    <row r="28" spans="1:12" s="6" customFormat="1" ht="20.149999999999999" customHeight="1">
      <c r="A28" s="20" t="s">
        <v>47</v>
      </c>
      <c r="B28" s="20" t="s">
        <v>48</v>
      </c>
      <c r="C28" s="23">
        <v>86</v>
      </c>
      <c r="D28" s="24">
        <v>34</v>
      </c>
      <c r="E28" s="25">
        <v>4483874</v>
      </c>
      <c r="F28" s="24">
        <v>0</v>
      </c>
      <c r="G28" s="7">
        <v>50</v>
      </c>
      <c r="H28" s="8">
        <f t="shared" si="4"/>
        <v>-51</v>
      </c>
      <c r="I28" s="9">
        <f t="shared" si="5"/>
        <v>-4</v>
      </c>
      <c r="J28" s="10">
        <f t="shared" si="6"/>
        <v>-3233874</v>
      </c>
      <c r="K28" s="9">
        <f t="shared" si="7"/>
        <v>5</v>
      </c>
      <c r="L28" s="15">
        <v>2</v>
      </c>
    </row>
    <row r="29" spans="1:12" s="6" customFormat="1" ht="20.149999999999999" customHeight="1">
      <c r="A29" s="20" t="s">
        <v>49</v>
      </c>
      <c r="B29" s="20" t="s">
        <v>50</v>
      </c>
      <c r="C29" s="23">
        <v>36</v>
      </c>
      <c r="D29" s="24">
        <v>39</v>
      </c>
      <c r="E29" s="25">
        <v>899396</v>
      </c>
      <c r="F29" s="24">
        <v>0</v>
      </c>
      <c r="G29" s="7">
        <v>20</v>
      </c>
      <c r="H29" s="8">
        <f t="shared" si="4"/>
        <v>-1</v>
      </c>
      <c r="I29" s="9">
        <f t="shared" si="5"/>
        <v>-9</v>
      </c>
      <c r="J29" s="10">
        <f t="shared" si="6"/>
        <v>350604</v>
      </c>
      <c r="K29" s="9">
        <f t="shared" si="7"/>
        <v>5</v>
      </c>
      <c r="L29" s="15">
        <v>2</v>
      </c>
    </row>
    <row r="30" spans="1:12" s="6" customFormat="1" ht="20.149999999999999" customHeight="1">
      <c r="A30" s="20" t="s">
        <v>51</v>
      </c>
      <c r="B30" s="20" t="s">
        <v>52</v>
      </c>
      <c r="C30" s="23">
        <v>42</v>
      </c>
      <c r="D30" s="24">
        <v>15</v>
      </c>
      <c r="E30" s="25">
        <v>377128</v>
      </c>
      <c r="F30" s="24">
        <v>0</v>
      </c>
      <c r="G30" s="7">
        <v>0</v>
      </c>
      <c r="H30" s="8">
        <f t="shared" si="4"/>
        <v>-7</v>
      </c>
      <c r="I30" s="9">
        <f t="shared" si="5"/>
        <v>15</v>
      </c>
      <c r="J30" s="10">
        <f t="shared" si="6"/>
        <v>872872</v>
      </c>
      <c r="K30" s="9">
        <f t="shared" si="7"/>
        <v>5</v>
      </c>
      <c r="L30" s="15">
        <v>2</v>
      </c>
    </row>
    <row r="31" spans="1:12" s="6" customFormat="1" ht="20.149999999999999" customHeight="1">
      <c r="A31" s="20" t="s">
        <v>53</v>
      </c>
      <c r="B31" s="20" t="s">
        <v>54</v>
      </c>
      <c r="C31" s="23">
        <v>20</v>
      </c>
      <c r="D31" s="24">
        <v>14</v>
      </c>
      <c r="E31" s="25">
        <v>270250</v>
      </c>
      <c r="F31" s="24">
        <v>0</v>
      </c>
      <c r="G31" s="7">
        <v>0</v>
      </c>
      <c r="H31" s="8">
        <f t="shared" si="4"/>
        <v>15</v>
      </c>
      <c r="I31" s="9">
        <f t="shared" si="5"/>
        <v>16</v>
      </c>
      <c r="J31" s="10">
        <f t="shared" si="6"/>
        <v>979750</v>
      </c>
      <c r="K31" s="9">
        <f t="shared" si="7"/>
        <v>5</v>
      </c>
      <c r="L31" s="15">
        <v>2</v>
      </c>
    </row>
    <row r="32" spans="1:12" s="6" customFormat="1" ht="20.149999999999999" customHeight="1">
      <c r="A32" s="20" t="s">
        <v>10</v>
      </c>
      <c r="B32" s="20" t="s">
        <v>55</v>
      </c>
      <c r="C32" s="23">
        <v>47</v>
      </c>
      <c r="D32" s="24">
        <v>29</v>
      </c>
      <c r="E32" s="25">
        <v>4272727</v>
      </c>
      <c r="F32" s="24">
        <v>1</v>
      </c>
      <c r="G32" s="7">
        <v>0</v>
      </c>
      <c r="H32" s="8">
        <f t="shared" si="4"/>
        <v>-12</v>
      </c>
      <c r="I32" s="9">
        <f t="shared" si="5"/>
        <v>1</v>
      </c>
      <c r="J32" s="10">
        <f t="shared" si="6"/>
        <v>-3022727</v>
      </c>
      <c r="K32" s="9">
        <f t="shared" si="7"/>
        <v>4</v>
      </c>
      <c r="L32" s="15">
        <v>2</v>
      </c>
    </row>
    <row r="33" spans="1:12" s="6" customFormat="1" ht="20.149999999999999" customHeight="1">
      <c r="A33" s="20" t="s">
        <v>56</v>
      </c>
      <c r="B33" s="20" t="s">
        <v>57</v>
      </c>
      <c r="C33" s="23">
        <v>37</v>
      </c>
      <c r="D33" s="24">
        <v>23</v>
      </c>
      <c r="E33" s="25">
        <v>1165170</v>
      </c>
      <c r="F33" s="24">
        <v>0</v>
      </c>
      <c r="G33" s="7">
        <v>12</v>
      </c>
      <c r="H33" s="8">
        <f t="shared" si="4"/>
        <v>-2</v>
      </c>
      <c r="I33" s="9">
        <f t="shared" si="5"/>
        <v>7</v>
      </c>
      <c r="J33" s="10">
        <f t="shared" si="6"/>
        <v>84830</v>
      </c>
      <c r="K33" s="9">
        <f t="shared" si="7"/>
        <v>5</v>
      </c>
      <c r="L33" s="15">
        <v>2</v>
      </c>
    </row>
    <row r="34" spans="1:12" s="6" customFormat="1" ht="20.149999999999999" customHeight="1">
      <c r="A34" s="20" t="s">
        <v>58</v>
      </c>
      <c r="B34" s="20" t="s">
        <v>59</v>
      </c>
      <c r="C34" s="23">
        <v>25</v>
      </c>
      <c r="D34" s="24">
        <v>24</v>
      </c>
      <c r="E34" s="25">
        <v>594530</v>
      </c>
      <c r="F34" s="24">
        <v>0</v>
      </c>
      <c r="G34" s="7">
        <v>57</v>
      </c>
      <c r="H34" s="8">
        <f t="shared" si="4"/>
        <v>10</v>
      </c>
      <c r="I34" s="9">
        <f t="shared" si="5"/>
        <v>6</v>
      </c>
      <c r="J34" s="10">
        <f t="shared" si="6"/>
        <v>655470</v>
      </c>
      <c r="K34" s="9">
        <f t="shared" si="7"/>
        <v>5</v>
      </c>
      <c r="L34" s="15">
        <v>2</v>
      </c>
    </row>
    <row r="35" spans="1:12" s="6" customFormat="1" ht="20.149999999999999" customHeight="1">
      <c r="A35" s="20" t="s">
        <v>60</v>
      </c>
      <c r="B35" s="20" t="s">
        <v>61</v>
      </c>
      <c r="C35" s="23">
        <v>0</v>
      </c>
      <c r="D35" s="24">
        <v>0</v>
      </c>
      <c r="E35" s="25">
        <v>0</v>
      </c>
      <c r="F35" s="24">
        <v>0</v>
      </c>
      <c r="G35" s="7">
        <v>60</v>
      </c>
      <c r="H35" s="8">
        <f t="shared" si="4"/>
        <v>35</v>
      </c>
      <c r="I35" s="9">
        <f t="shared" si="5"/>
        <v>30</v>
      </c>
      <c r="J35" s="10">
        <f t="shared" si="6"/>
        <v>1250000</v>
      </c>
      <c r="K35" s="9">
        <f t="shared" si="7"/>
        <v>5</v>
      </c>
      <c r="L35" s="15">
        <v>2</v>
      </c>
    </row>
    <row r="36" spans="1:12" s="6" customFormat="1" ht="20.149999999999999" customHeight="1">
      <c r="A36" s="20" t="s">
        <v>62</v>
      </c>
      <c r="B36" s="20" t="s">
        <v>63</v>
      </c>
      <c r="C36" s="23">
        <v>45</v>
      </c>
      <c r="D36" s="24">
        <v>28</v>
      </c>
      <c r="E36" s="25">
        <v>2559753</v>
      </c>
      <c r="F36" s="24">
        <v>1</v>
      </c>
      <c r="G36" s="7">
        <v>0</v>
      </c>
      <c r="H36" s="8">
        <f t="shared" si="4"/>
        <v>-10</v>
      </c>
      <c r="I36" s="9">
        <f t="shared" si="5"/>
        <v>2</v>
      </c>
      <c r="J36" s="10">
        <f t="shared" si="6"/>
        <v>-1309753</v>
      </c>
      <c r="K36" s="9">
        <f t="shared" si="7"/>
        <v>4</v>
      </c>
      <c r="L36" s="15">
        <v>2</v>
      </c>
    </row>
    <row r="37" spans="1:12" s="6" customFormat="1" ht="20.149999999999999" customHeight="1">
      <c r="A37" s="20" t="s">
        <v>64</v>
      </c>
      <c r="B37" s="20" t="s">
        <v>65</v>
      </c>
      <c r="C37" s="23">
        <v>32</v>
      </c>
      <c r="D37" s="24">
        <v>56</v>
      </c>
      <c r="E37" s="25">
        <v>515993</v>
      </c>
      <c r="F37" s="24">
        <v>3</v>
      </c>
      <c r="G37" s="7">
        <v>8</v>
      </c>
      <c r="H37" s="8">
        <f t="shared" si="4"/>
        <v>3</v>
      </c>
      <c r="I37" s="9">
        <f t="shared" si="5"/>
        <v>-26</v>
      </c>
      <c r="J37" s="10">
        <f t="shared" si="6"/>
        <v>734007</v>
      </c>
      <c r="K37" s="9">
        <f t="shared" si="7"/>
        <v>2</v>
      </c>
      <c r="L37" s="15">
        <v>2</v>
      </c>
    </row>
    <row r="38" spans="1:12" s="6" customFormat="1" ht="20.149999999999999" customHeight="1">
      <c r="A38" s="20" t="s">
        <v>66</v>
      </c>
      <c r="B38" s="20" t="s">
        <v>67</v>
      </c>
      <c r="C38" s="23">
        <v>64</v>
      </c>
      <c r="D38" s="24">
        <v>32</v>
      </c>
      <c r="E38" s="25">
        <v>1615312</v>
      </c>
      <c r="F38" s="24">
        <v>0</v>
      </c>
      <c r="G38" s="7">
        <v>0</v>
      </c>
      <c r="H38" s="8">
        <f t="shared" si="4"/>
        <v>-29</v>
      </c>
      <c r="I38" s="9">
        <f t="shared" si="5"/>
        <v>-2</v>
      </c>
      <c r="J38" s="10">
        <f t="shared" si="6"/>
        <v>-365312</v>
      </c>
      <c r="K38" s="9">
        <f t="shared" si="7"/>
        <v>5</v>
      </c>
      <c r="L38" s="15">
        <v>2</v>
      </c>
    </row>
    <row r="39" spans="1:12" s="6" customFormat="1" ht="20.149999999999999" customHeight="1">
      <c r="A39" s="20" t="s">
        <v>68</v>
      </c>
      <c r="B39" s="20" t="s">
        <v>69</v>
      </c>
      <c r="C39" s="23">
        <v>24</v>
      </c>
      <c r="D39" s="24">
        <v>23</v>
      </c>
      <c r="E39" s="25">
        <v>5010695</v>
      </c>
      <c r="F39" s="24">
        <v>1</v>
      </c>
      <c r="G39" s="7">
        <v>0</v>
      </c>
      <c r="H39" s="8">
        <f t="shared" si="4"/>
        <v>11</v>
      </c>
      <c r="I39" s="9">
        <f t="shared" si="5"/>
        <v>7</v>
      </c>
      <c r="J39" s="10">
        <f t="shared" si="6"/>
        <v>-3760695</v>
      </c>
      <c r="K39" s="9">
        <f t="shared" si="7"/>
        <v>4</v>
      </c>
      <c r="L39" s="15">
        <v>2</v>
      </c>
    </row>
    <row r="40" spans="1:12" s="6" customFormat="1" ht="20.149999999999999" customHeight="1">
      <c r="A40" s="20" t="s">
        <v>70</v>
      </c>
      <c r="B40" s="20" t="s">
        <v>71</v>
      </c>
      <c r="C40" s="23">
        <v>25</v>
      </c>
      <c r="D40" s="24">
        <v>19</v>
      </c>
      <c r="E40" s="25">
        <v>414439</v>
      </c>
      <c r="F40" s="24">
        <v>0</v>
      </c>
      <c r="G40" s="7">
        <v>0</v>
      </c>
      <c r="H40" s="8">
        <f t="shared" si="4"/>
        <v>10</v>
      </c>
      <c r="I40" s="9">
        <f t="shared" si="5"/>
        <v>11</v>
      </c>
      <c r="J40" s="10">
        <f t="shared" si="6"/>
        <v>835561</v>
      </c>
      <c r="K40" s="9">
        <f t="shared" si="7"/>
        <v>5</v>
      </c>
      <c r="L40" s="15">
        <v>2</v>
      </c>
    </row>
    <row r="41" spans="1:12" s="6" customFormat="1" ht="20.149999999999999" customHeight="1">
      <c r="A41" s="20" t="s">
        <v>72</v>
      </c>
      <c r="B41" s="20" t="s">
        <v>73</v>
      </c>
      <c r="C41" s="23">
        <v>40</v>
      </c>
      <c r="D41" s="24">
        <v>67</v>
      </c>
      <c r="E41" s="25">
        <v>4683633</v>
      </c>
      <c r="F41" s="24">
        <v>1</v>
      </c>
      <c r="G41" s="7">
        <v>105</v>
      </c>
      <c r="H41" s="8">
        <f t="shared" si="4"/>
        <v>-5</v>
      </c>
      <c r="I41" s="9">
        <f t="shared" si="5"/>
        <v>-37</v>
      </c>
      <c r="J41" s="10">
        <f t="shared" si="6"/>
        <v>-3433633</v>
      </c>
      <c r="K41" s="9">
        <f t="shared" si="7"/>
        <v>4</v>
      </c>
      <c r="L41" s="15">
        <v>2</v>
      </c>
    </row>
    <row r="42" spans="1:12" s="6" customFormat="1" ht="20.149999999999999" customHeight="1">
      <c r="A42" s="20" t="s">
        <v>74</v>
      </c>
      <c r="B42" s="20" t="s">
        <v>75</v>
      </c>
      <c r="C42" s="23">
        <v>70</v>
      </c>
      <c r="D42" s="24">
        <v>63</v>
      </c>
      <c r="E42" s="25">
        <v>10105225</v>
      </c>
      <c r="F42" s="24">
        <v>0</v>
      </c>
      <c r="G42" s="7">
        <v>0</v>
      </c>
      <c r="H42" s="8">
        <f t="shared" si="4"/>
        <v>-35</v>
      </c>
      <c r="I42" s="9">
        <f t="shared" si="5"/>
        <v>-33</v>
      </c>
      <c r="J42" s="10">
        <f t="shared" si="6"/>
        <v>-8855225</v>
      </c>
      <c r="K42" s="9">
        <f t="shared" si="7"/>
        <v>5</v>
      </c>
      <c r="L42" s="15">
        <v>2</v>
      </c>
    </row>
    <row r="43" spans="1:12" s="6" customFormat="1" ht="20.149999999999999" customHeight="1">
      <c r="A43" s="20" t="s">
        <v>76</v>
      </c>
      <c r="B43" s="20" t="s">
        <v>77</v>
      </c>
      <c r="C43" s="23">
        <v>74</v>
      </c>
      <c r="D43" s="24">
        <v>43</v>
      </c>
      <c r="E43" s="25">
        <v>538150</v>
      </c>
      <c r="F43" s="24">
        <v>2</v>
      </c>
      <c r="G43" s="7">
        <v>0</v>
      </c>
      <c r="H43" s="8">
        <f t="shared" si="4"/>
        <v>-39</v>
      </c>
      <c r="I43" s="9">
        <f t="shared" si="5"/>
        <v>-13</v>
      </c>
      <c r="J43" s="10">
        <f t="shared" si="6"/>
        <v>711850</v>
      </c>
      <c r="K43" s="9">
        <f t="shared" si="7"/>
        <v>3</v>
      </c>
      <c r="L43" s="15">
        <v>2</v>
      </c>
    </row>
    <row r="44" spans="1:12" s="6" customFormat="1" ht="20.149999999999999" customHeight="1">
      <c r="A44" s="20" t="s">
        <v>78</v>
      </c>
      <c r="B44" s="20" t="s">
        <v>79</v>
      </c>
      <c r="C44" s="23">
        <v>40</v>
      </c>
      <c r="D44" s="24">
        <v>27</v>
      </c>
      <c r="E44" s="25">
        <v>2549380</v>
      </c>
      <c r="F44" s="24">
        <v>2</v>
      </c>
      <c r="G44" s="7">
        <v>0</v>
      </c>
      <c r="H44" s="8">
        <f t="shared" si="4"/>
        <v>-5</v>
      </c>
      <c r="I44" s="9">
        <f t="shared" si="5"/>
        <v>3</v>
      </c>
      <c r="J44" s="10">
        <f t="shared" si="6"/>
        <v>-1299380</v>
      </c>
      <c r="K44" s="9">
        <f t="shared" si="7"/>
        <v>3</v>
      </c>
      <c r="L44" s="15">
        <v>2</v>
      </c>
    </row>
    <row r="45" spans="1:12" s="6" customFormat="1" ht="20.149999999999999" customHeight="1">
      <c r="A45" s="20" t="s">
        <v>80</v>
      </c>
      <c r="B45" s="20" t="s">
        <v>81</v>
      </c>
      <c r="C45" s="23">
        <v>28</v>
      </c>
      <c r="D45" s="24">
        <v>21</v>
      </c>
      <c r="E45" s="25">
        <v>3326445</v>
      </c>
      <c r="F45" s="24">
        <v>0</v>
      </c>
      <c r="G45" s="7">
        <v>0</v>
      </c>
      <c r="H45" s="8">
        <f t="shared" si="4"/>
        <v>7</v>
      </c>
      <c r="I45" s="9">
        <f t="shared" si="5"/>
        <v>9</v>
      </c>
      <c r="J45" s="10">
        <f t="shared" si="6"/>
        <v>-2076445</v>
      </c>
      <c r="K45" s="9">
        <f t="shared" si="7"/>
        <v>5</v>
      </c>
      <c r="L45" s="15">
        <v>2</v>
      </c>
    </row>
    <row r="46" spans="1:12" s="6" customFormat="1" ht="20.149999999999999" customHeight="1">
      <c r="A46" s="20" t="s">
        <v>82</v>
      </c>
      <c r="B46" s="20" t="s">
        <v>83</v>
      </c>
      <c r="C46" s="23">
        <v>56</v>
      </c>
      <c r="D46" s="24">
        <v>14</v>
      </c>
      <c r="E46" s="25">
        <v>2039850</v>
      </c>
      <c r="F46" s="24">
        <v>0</v>
      </c>
      <c r="G46" s="7">
        <v>0</v>
      </c>
      <c r="H46" s="8">
        <f t="shared" si="4"/>
        <v>-21</v>
      </c>
      <c r="I46" s="9">
        <f t="shared" si="5"/>
        <v>16</v>
      </c>
      <c r="J46" s="10">
        <f t="shared" si="6"/>
        <v>-789850</v>
      </c>
      <c r="K46" s="9">
        <f t="shared" si="7"/>
        <v>5</v>
      </c>
      <c r="L46" s="15">
        <v>2</v>
      </c>
    </row>
    <row r="47" spans="1:12" s="6" customFormat="1" ht="20.149999999999999" customHeight="1">
      <c r="A47" s="20" t="s">
        <v>84</v>
      </c>
      <c r="B47" s="20" t="s">
        <v>85</v>
      </c>
      <c r="C47" s="23">
        <v>26</v>
      </c>
      <c r="D47" s="24">
        <v>24</v>
      </c>
      <c r="E47" s="25">
        <v>3560210</v>
      </c>
      <c r="F47" s="24">
        <v>0</v>
      </c>
      <c r="G47" s="7">
        <v>0</v>
      </c>
      <c r="H47" s="8">
        <f t="shared" si="4"/>
        <v>9</v>
      </c>
      <c r="I47" s="9">
        <f t="shared" si="5"/>
        <v>6</v>
      </c>
      <c r="J47" s="10">
        <f t="shared" si="6"/>
        <v>-2310210</v>
      </c>
      <c r="K47" s="9">
        <f t="shared" si="7"/>
        <v>5</v>
      </c>
      <c r="L47" s="15">
        <v>2</v>
      </c>
    </row>
    <row r="48" spans="1:12" s="6" customFormat="1" ht="20.149999999999999" customHeight="1">
      <c r="A48" s="20" t="s">
        <v>86</v>
      </c>
      <c r="B48" s="20" t="s">
        <v>85</v>
      </c>
      <c r="C48" s="23">
        <v>0</v>
      </c>
      <c r="D48" s="24">
        <v>2</v>
      </c>
      <c r="E48" s="25">
        <v>0</v>
      </c>
      <c r="F48" s="24">
        <v>0</v>
      </c>
      <c r="G48" s="7">
        <v>7</v>
      </c>
      <c r="H48" s="8">
        <f t="shared" si="4"/>
        <v>35</v>
      </c>
      <c r="I48" s="9">
        <f t="shared" si="5"/>
        <v>28</v>
      </c>
      <c r="J48" s="10">
        <f t="shared" si="6"/>
        <v>1250000</v>
      </c>
      <c r="K48" s="9">
        <f t="shared" si="7"/>
        <v>5</v>
      </c>
      <c r="L48" s="15">
        <v>2</v>
      </c>
    </row>
    <row r="49" spans="1:12" s="6" customFormat="1" ht="20.149999999999999" customHeight="1">
      <c r="A49" s="20" t="s">
        <v>87</v>
      </c>
      <c r="B49" s="20" t="s">
        <v>85</v>
      </c>
      <c r="C49" s="23">
        <v>33</v>
      </c>
      <c r="D49" s="24">
        <v>16</v>
      </c>
      <c r="E49" s="25">
        <v>426286</v>
      </c>
      <c r="F49" s="24">
        <v>6</v>
      </c>
      <c r="G49" s="7">
        <v>0</v>
      </c>
      <c r="H49" s="8">
        <f t="shared" si="4"/>
        <v>2</v>
      </c>
      <c r="I49" s="9">
        <f t="shared" si="5"/>
        <v>14</v>
      </c>
      <c r="J49" s="10">
        <f t="shared" si="6"/>
        <v>823714</v>
      </c>
      <c r="K49" s="9">
        <f t="shared" si="7"/>
        <v>-1</v>
      </c>
      <c r="L49" s="15">
        <v>2</v>
      </c>
    </row>
    <row r="50" spans="1:12" s="6" customFormat="1" ht="20.149999999999999" customHeight="1">
      <c r="A50" s="20" t="s">
        <v>88</v>
      </c>
      <c r="B50" s="20" t="s">
        <v>85</v>
      </c>
      <c r="C50" s="23">
        <v>18</v>
      </c>
      <c r="D50" s="24">
        <v>19</v>
      </c>
      <c r="E50" s="25">
        <v>74761179</v>
      </c>
      <c r="F50" s="24">
        <v>0</v>
      </c>
      <c r="G50" s="7">
        <v>7</v>
      </c>
      <c r="H50" s="8">
        <f t="shared" si="4"/>
        <v>17</v>
      </c>
      <c r="I50" s="9">
        <f t="shared" si="5"/>
        <v>11</v>
      </c>
      <c r="J50" s="10">
        <f t="shared" si="6"/>
        <v>-73511179</v>
      </c>
      <c r="K50" s="9">
        <f t="shared" si="7"/>
        <v>5</v>
      </c>
      <c r="L50" s="15">
        <v>2</v>
      </c>
    </row>
    <row r="51" spans="1:12" s="6" customFormat="1" ht="20.149999999999999" customHeight="1">
      <c r="A51" s="20" t="s">
        <v>89</v>
      </c>
      <c r="B51" s="20" t="s">
        <v>85</v>
      </c>
      <c r="C51" s="23">
        <v>49</v>
      </c>
      <c r="D51" s="24">
        <v>37</v>
      </c>
      <c r="E51" s="25">
        <v>2274463</v>
      </c>
      <c r="F51" s="24">
        <v>0</v>
      </c>
      <c r="G51" s="7">
        <v>0</v>
      </c>
      <c r="H51" s="8">
        <f t="shared" si="4"/>
        <v>-14</v>
      </c>
      <c r="I51" s="9">
        <f t="shared" si="5"/>
        <v>-7</v>
      </c>
      <c r="J51" s="10">
        <f t="shared" si="6"/>
        <v>-1024463</v>
      </c>
      <c r="K51" s="9">
        <f t="shared" si="7"/>
        <v>5</v>
      </c>
      <c r="L51" s="15">
        <v>2</v>
      </c>
    </row>
    <row r="52" spans="1:12" s="6" customFormat="1" ht="20.149999999999999" customHeight="1">
      <c r="A52" s="20" t="s">
        <v>90</v>
      </c>
      <c r="B52" s="20" t="s">
        <v>91</v>
      </c>
      <c r="C52" s="23">
        <v>14</v>
      </c>
      <c r="D52" s="24">
        <v>40</v>
      </c>
      <c r="E52" s="25">
        <v>8740</v>
      </c>
      <c r="F52" s="24">
        <v>0</v>
      </c>
      <c r="G52" s="7">
        <v>0</v>
      </c>
      <c r="H52" s="8">
        <f t="shared" si="4"/>
        <v>21</v>
      </c>
      <c r="I52" s="9">
        <f t="shared" si="5"/>
        <v>-10</v>
      </c>
      <c r="J52" s="10">
        <f t="shared" si="6"/>
        <v>1241260</v>
      </c>
      <c r="K52" s="9">
        <f t="shared" si="7"/>
        <v>5</v>
      </c>
      <c r="L52" s="15">
        <v>2</v>
      </c>
    </row>
    <row r="53" spans="1:12" s="6" customFormat="1" ht="20.149999999999999" customHeight="1">
      <c r="A53" s="20" t="s">
        <v>92</v>
      </c>
      <c r="B53" s="20" t="s">
        <v>93</v>
      </c>
      <c r="C53" s="23">
        <v>16</v>
      </c>
      <c r="D53" s="24">
        <v>29</v>
      </c>
      <c r="E53" s="25">
        <v>37043</v>
      </c>
      <c r="F53" s="24">
        <v>0</v>
      </c>
      <c r="G53" s="7">
        <v>0</v>
      </c>
      <c r="H53" s="8">
        <f t="shared" si="4"/>
        <v>19</v>
      </c>
      <c r="I53" s="9">
        <f t="shared" si="5"/>
        <v>1</v>
      </c>
      <c r="J53" s="10">
        <f t="shared" si="6"/>
        <v>1212957</v>
      </c>
      <c r="K53" s="9">
        <f t="shared" si="7"/>
        <v>5</v>
      </c>
      <c r="L53" s="15">
        <v>2</v>
      </c>
    </row>
    <row r="54" spans="1:12" s="6" customFormat="1" ht="20.149999999999999" customHeight="1">
      <c r="A54" s="20" t="s">
        <v>94</v>
      </c>
      <c r="B54" s="20" t="s">
        <v>95</v>
      </c>
      <c r="C54" s="23">
        <v>16</v>
      </c>
      <c r="D54" s="24">
        <v>15</v>
      </c>
      <c r="E54" s="25">
        <v>133850</v>
      </c>
      <c r="F54" s="24">
        <v>0</v>
      </c>
      <c r="G54" s="7">
        <v>1</v>
      </c>
      <c r="H54" s="8">
        <f t="shared" si="4"/>
        <v>19</v>
      </c>
      <c r="I54" s="9">
        <f t="shared" si="5"/>
        <v>15</v>
      </c>
      <c r="J54" s="10">
        <f t="shared" si="6"/>
        <v>1116150</v>
      </c>
      <c r="K54" s="9">
        <f t="shared" si="7"/>
        <v>5</v>
      </c>
      <c r="L54" s="15">
        <v>2</v>
      </c>
    </row>
    <row r="55" spans="1:12" s="6" customFormat="1" ht="20.149999999999999" customHeight="1">
      <c r="A55" s="20" t="s">
        <v>96</v>
      </c>
      <c r="B55" s="20" t="s">
        <v>97</v>
      </c>
      <c r="C55" s="23">
        <v>49</v>
      </c>
      <c r="D55" s="24">
        <v>43</v>
      </c>
      <c r="E55" s="25">
        <v>4466466</v>
      </c>
      <c r="F55" s="24">
        <v>2</v>
      </c>
      <c r="G55" s="7">
        <v>0</v>
      </c>
      <c r="H55" s="8">
        <f t="shared" si="4"/>
        <v>-14</v>
      </c>
      <c r="I55" s="9">
        <f t="shared" si="5"/>
        <v>-13</v>
      </c>
      <c r="J55" s="10">
        <f t="shared" si="6"/>
        <v>-3216466</v>
      </c>
      <c r="K55" s="9">
        <f t="shared" si="7"/>
        <v>3</v>
      </c>
      <c r="L55" s="15">
        <v>2</v>
      </c>
    </row>
    <row r="56" spans="1:12" s="6" customFormat="1" ht="20.149999999999999" customHeight="1">
      <c r="A56" s="20" t="s">
        <v>98</v>
      </c>
      <c r="B56" s="20" t="s">
        <v>99</v>
      </c>
      <c r="C56" s="23">
        <v>45</v>
      </c>
      <c r="D56" s="24">
        <v>15</v>
      </c>
      <c r="E56" s="25">
        <v>1437900</v>
      </c>
      <c r="F56" s="24">
        <v>2</v>
      </c>
      <c r="G56" s="7">
        <v>0</v>
      </c>
      <c r="H56" s="8">
        <f t="shared" si="4"/>
        <v>-10</v>
      </c>
      <c r="I56" s="9">
        <f t="shared" si="5"/>
        <v>15</v>
      </c>
      <c r="J56" s="10">
        <f t="shared" si="6"/>
        <v>-187900</v>
      </c>
      <c r="K56" s="9">
        <f t="shared" si="7"/>
        <v>3</v>
      </c>
      <c r="L56" s="15">
        <v>2</v>
      </c>
    </row>
    <row r="57" spans="1:12" s="6" customFormat="1" ht="20.149999999999999" customHeight="1">
      <c r="A57" s="20" t="s">
        <v>100</v>
      </c>
      <c r="B57" s="20" t="s">
        <v>101</v>
      </c>
      <c r="C57" s="23">
        <v>19</v>
      </c>
      <c r="D57" s="24">
        <v>52</v>
      </c>
      <c r="E57" s="25">
        <v>110645</v>
      </c>
      <c r="F57" s="24">
        <v>0</v>
      </c>
      <c r="G57" s="7">
        <v>14</v>
      </c>
      <c r="H57" s="8">
        <f t="shared" si="4"/>
        <v>16</v>
      </c>
      <c r="I57" s="9">
        <f t="shared" si="5"/>
        <v>-22</v>
      </c>
      <c r="J57" s="10">
        <f t="shared" si="6"/>
        <v>1139355</v>
      </c>
      <c r="K57" s="9">
        <f t="shared" si="7"/>
        <v>5</v>
      </c>
      <c r="L57" s="15">
        <v>2</v>
      </c>
    </row>
    <row r="58" spans="1:12" s="6" customFormat="1" ht="20.149999999999999" customHeight="1">
      <c r="A58" s="20" t="s">
        <v>102</v>
      </c>
      <c r="B58" s="20" t="s">
        <v>103</v>
      </c>
      <c r="C58" s="23">
        <v>26</v>
      </c>
      <c r="D58" s="24">
        <v>22</v>
      </c>
      <c r="E58" s="25">
        <v>3223220</v>
      </c>
      <c r="F58" s="24">
        <v>0</v>
      </c>
      <c r="G58" s="7">
        <v>0</v>
      </c>
      <c r="H58" s="8">
        <f t="shared" si="4"/>
        <v>9</v>
      </c>
      <c r="I58" s="9">
        <f t="shared" si="5"/>
        <v>8</v>
      </c>
      <c r="J58" s="10">
        <f t="shared" si="6"/>
        <v>-1973220</v>
      </c>
      <c r="K58" s="9">
        <f t="shared" si="7"/>
        <v>5</v>
      </c>
      <c r="L58" s="15">
        <v>2</v>
      </c>
    </row>
    <row r="59" spans="1:12" s="6" customFormat="1" ht="20.149999999999999" customHeight="1">
      <c r="A59" s="20" t="s">
        <v>104</v>
      </c>
      <c r="B59" s="20" t="s">
        <v>105</v>
      </c>
      <c r="C59" s="23">
        <v>43</v>
      </c>
      <c r="D59" s="24">
        <v>27</v>
      </c>
      <c r="E59" s="25">
        <v>2151275</v>
      </c>
      <c r="F59" s="24">
        <v>0</v>
      </c>
      <c r="G59" s="7">
        <v>0</v>
      </c>
      <c r="H59" s="8">
        <f t="shared" si="4"/>
        <v>-8</v>
      </c>
      <c r="I59" s="9">
        <f t="shared" si="5"/>
        <v>3</v>
      </c>
      <c r="J59" s="10">
        <f t="shared" si="6"/>
        <v>-901275</v>
      </c>
      <c r="K59" s="9">
        <f t="shared" si="7"/>
        <v>5</v>
      </c>
      <c r="L59" s="15">
        <v>2</v>
      </c>
    </row>
    <row r="60" spans="1:12" s="6" customFormat="1" ht="20.149999999999999" customHeight="1">
      <c r="A60" s="20" t="s">
        <v>106</v>
      </c>
      <c r="B60" s="20" t="s">
        <v>105</v>
      </c>
      <c r="C60" s="23">
        <v>36</v>
      </c>
      <c r="D60" s="24">
        <v>72</v>
      </c>
      <c r="E60" s="25">
        <v>1573079</v>
      </c>
      <c r="F60" s="24">
        <v>4</v>
      </c>
      <c r="G60" s="7">
        <v>0</v>
      </c>
      <c r="H60" s="8">
        <f t="shared" si="4"/>
        <v>-1</v>
      </c>
      <c r="I60" s="9">
        <f t="shared" si="5"/>
        <v>-42</v>
      </c>
      <c r="J60" s="10">
        <f t="shared" si="6"/>
        <v>-323079</v>
      </c>
      <c r="K60" s="9">
        <f t="shared" si="7"/>
        <v>1</v>
      </c>
      <c r="L60" s="15">
        <v>2</v>
      </c>
    </row>
    <row r="61" spans="1:12" s="6" customFormat="1" ht="20.149999999999999" customHeight="1">
      <c r="A61" s="20" t="s">
        <v>107</v>
      </c>
      <c r="B61" s="20" t="s">
        <v>108</v>
      </c>
      <c r="C61" s="23">
        <v>58</v>
      </c>
      <c r="D61" s="24">
        <v>39</v>
      </c>
      <c r="E61" s="25">
        <v>2588061</v>
      </c>
      <c r="F61" s="24">
        <v>1</v>
      </c>
      <c r="G61" s="7">
        <v>0</v>
      </c>
      <c r="H61" s="8">
        <f t="shared" si="4"/>
        <v>-23</v>
      </c>
      <c r="I61" s="9">
        <f t="shared" si="5"/>
        <v>-9</v>
      </c>
      <c r="J61" s="10">
        <f t="shared" si="6"/>
        <v>-1338061</v>
      </c>
      <c r="K61" s="9">
        <f t="shared" si="7"/>
        <v>4</v>
      </c>
      <c r="L61" s="15">
        <v>2</v>
      </c>
    </row>
    <row r="62" spans="1:12" s="6" customFormat="1" ht="20.149999999999999" customHeight="1">
      <c r="A62" s="20" t="s">
        <v>109</v>
      </c>
      <c r="B62" s="20" t="s">
        <v>110</v>
      </c>
      <c r="C62" s="23">
        <v>10</v>
      </c>
      <c r="D62" s="24">
        <v>3</v>
      </c>
      <c r="E62" s="25">
        <v>15000</v>
      </c>
      <c r="F62" s="24">
        <v>0</v>
      </c>
      <c r="G62" s="7">
        <v>7</v>
      </c>
      <c r="H62" s="8">
        <f t="shared" si="4"/>
        <v>25</v>
      </c>
      <c r="I62" s="9">
        <f t="shared" si="5"/>
        <v>27</v>
      </c>
      <c r="J62" s="10">
        <f t="shared" si="6"/>
        <v>1235000</v>
      </c>
      <c r="K62" s="9">
        <f t="shared" si="7"/>
        <v>5</v>
      </c>
      <c r="L62" s="15">
        <v>2</v>
      </c>
    </row>
    <row r="63" spans="1:12" s="6" customFormat="1" ht="20.149999999999999" customHeight="1">
      <c r="A63" s="20" t="s">
        <v>96</v>
      </c>
      <c r="B63" s="20" t="s">
        <v>111</v>
      </c>
      <c r="C63" s="23">
        <v>56</v>
      </c>
      <c r="D63" s="24">
        <v>48</v>
      </c>
      <c r="E63" s="25">
        <v>1048862</v>
      </c>
      <c r="F63" s="24">
        <v>1</v>
      </c>
      <c r="G63" s="7">
        <v>0</v>
      </c>
      <c r="H63" s="8">
        <f t="shared" si="4"/>
        <v>-21</v>
      </c>
      <c r="I63" s="9">
        <f t="shared" si="5"/>
        <v>-18</v>
      </c>
      <c r="J63" s="10">
        <f t="shared" si="6"/>
        <v>201138</v>
      </c>
      <c r="K63" s="9">
        <f t="shared" si="7"/>
        <v>4</v>
      </c>
      <c r="L63" s="15">
        <v>2</v>
      </c>
    </row>
    <row r="64" spans="1:12">
      <c r="A64" s="20" t="s">
        <v>112</v>
      </c>
      <c r="B64" s="20" t="s">
        <v>113</v>
      </c>
      <c r="C64" s="23">
        <v>43</v>
      </c>
      <c r="D64" s="24">
        <v>31</v>
      </c>
      <c r="E64" s="25">
        <v>667591</v>
      </c>
      <c r="F64" s="24">
        <v>2</v>
      </c>
      <c r="G64" s="17">
        <v>14</v>
      </c>
      <c r="H64" s="8">
        <f t="shared" ref="H64:H66" si="8">+$C$2-C64</f>
        <v>-8</v>
      </c>
      <c r="I64" s="9">
        <f t="shared" ref="I64:I66" si="9">$D$2-D64</f>
        <v>-1</v>
      </c>
      <c r="J64" s="10">
        <f t="shared" ref="J64:J66" si="10">$E$2-E64</f>
        <v>582409</v>
      </c>
      <c r="K64" s="9">
        <f t="shared" ref="K64:K66" si="11">$F$2-F64</f>
        <v>3</v>
      </c>
      <c r="L64" s="15">
        <v>2</v>
      </c>
    </row>
    <row r="65" spans="1:12">
      <c r="A65" s="20" t="s">
        <v>114</v>
      </c>
      <c r="B65" s="20" t="s">
        <v>115</v>
      </c>
      <c r="C65" s="23">
        <v>46</v>
      </c>
      <c r="D65" s="24">
        <v>47</v>
      </c>
      <c r="E65" s="25">
        <v>340849</v>
      </c>
      <c r="F65" s="24">
        <v>6</v>
      </c>
      <c r="G65" s="17">
        <v>14</v>
      </c>
      <c r="H65" s="8">
        <f t="shared" si="8"/>
        <v>-11</v>
      </c>
      <c r="I65" s="9">
        <f t="shared" si="9"/>
        <v>-17</v>
      </c>
      <c r="J65" s="10">
        <f t="shared" si="10"/>
        <v>909151</v>
      </c>
      <c r="K65" s="9">
        <f t="shared" si="11"/>
        <v>-1</v>
      </c>
      <c r="L65" s="15">
        <v>2</v>
      </c>
    </row>
    <row r="66" spans="1:12">
      <c r="A66" s="20" t="s">
        <v>27</v>
      </c>
      <c r="B66" s="20" t="s">
        <v>116</v>
      </c>
      <c r="C66" s="23">
        <v>94</v>
      </c>
      <c r="D66" s="24">
        <v>84</v>
      </c>
      <c r="E66" s="25">
        <v>1881996</v>
      </c>
      <c r="F66" s="24">
        <v>1</v>
      </c>
      <c r="G66" s="17">
        <v>14</v>
      </c>
      <c r="H66" s="8">
        <f t="shared" si="8"/>
        <v>-59</v>
      </c>
      <c r="I66" s="9">
        <f t="shared" si="9"/>
        <v>-54</v>
      </c>
      <c r="J66" s="10">
        <f t="shared" si="10"/>
        <v>-631996</v>
      </c>
      <c r="K66" s="9">
        <f t="shared" si="11"/>
        <v>4</v>
      </c>
      <c r="L66" s="15">
        <v>2</v>
      </c>
    </row>
    <row r="67" spans="1:12">
      <c r="F67" s="16"/>
    </row>
    <row r="68" spans="1:12">
      <c r="F68" s="16"/>
    </row>
  </sheetData>
  <mergeCells count="2">
    <mergeCell ref="C6:G6"/>
    <mergeCell ref="H6:L6"/>
  </mergeCells>
  <pageMargins left="0.7" right="0.7" top="0.75" bottom="0.75" header="0.3" footer="0.3"/>
  <pageSetup paperSize="9"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Kalugade, Shnehal</cp:lastModifiedBy>
  <dcterms:created xsi:type="dcterms:W3CDTF">2026-03-16T04:48:59Z</dcterms:created>
  <dcterms:modified xsi:type="dcterms:W3CDTF">2026-04-27T05:00:52Z</dcterms:modified>
</cp:coreProperties>
</file>